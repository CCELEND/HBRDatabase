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3" windowHeight="9245"/>
  </bookViews>
  <sheets>
    <sheet name="破坏率OD计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<sst xmlns="http://schemas.openxmlformats.org/spreadsheetml/2006/main" count="41" uniqueCount="40">
  <si>
    <t>破坏率计算器</t>
  </si>
  <si>
    <t>技能伤害分布</t>
  </si>
  <si>
    <t>HitCount</t>
  </si>
  <si>
    <t>当前类型</t>
  </si>
  <si>
    <t>伤害乘区</t>
  </si>
  <si>
    <t>DR增量</t>
  </si>
  <si>
    <t>初始破坏率</t>
  </si>
  <si>
    <t>实际伤害</t>
  </si>
  <si>
    <t>技能破坏倍率 (DR)</t>
  </si>
  <si>
    <t>敌人DR</t>
  </si>
  <si>
    <t>技能原始Hit数</t>
  </si>
  <si>
    <t>破坏耳环</t>
  </si>
  <si>
    <t>银冰项链</t>
  </si>
  <si>
    <t>其他破坏率增量</t>
  </si>
  <si>
    <t>特大连击 50%</t>
  </si>
  <si>
    <t>大连击 25%</t>
  </si>
  <si>
    <t>中连击 12%</t>
  </si>
  <si>
    <t>小连击 6%</t>
  </si>
  <si>
    <t>敌人最大破坏率</t>
  </si>
  <si>
    <t>敌人初始破坏率</t>
  </si>
  <si>
    <t>OD计算器</t>
  </si>
  <si>
    <t>理论DR增量</t>
  </si>
  <si>
    <t>理论破坏率增量</t>
  </si>
  <si>
    <t>连击数</t>
  </si>
  <si>
    <t>实际最终破坏率</t>
  </si>
  <si>
    <t>固定OD</t>
  </si>
  <si>
    <t>平均破坏率</t>
  </si>
  <si>
    <t>31X共鸣</t>
  </si>
  <si>
    <t>OD耳环</t>
  </si>
  <si>
    <t>目标数</t>
  </si>
  <si>
    <t>实际OD百分比</t>
  </si>
  <si>
    <t>抗性</t>
  </si>
  <si>
    <t>实际Hit数</t>
  </si>
  <si>
    <t>耳环系数</t>
  </si>
  <si>
    <t>其他OD增量</t>
  </si>
  <si>
    <t>总系数</t>
  </si>
  <si>
    <t>敌方OD率</t>
  </si>
  <si>
    <t>HIT OD</t>
  </si>
  <si>
    <t>固定 OD</t>
  </si>
  <si>
    <t>总OD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</si>
</sst>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4" fillId="2" borderId="5" xfId="22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C000"/>
        </patternFill>
      </fill>
    </dxf>
    <dxf>
      <fill>
        <patternFill patternType="solid"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F28" sqref="F28"/>
    </sheetView>
  </sheetViews>
  <sheetFormatPr defaultColWidth="9" defaultRowHeight="13.9"/>
  <cols>
    <col min="1" max="1" width="18.1651376146789" style="1" customWidth="1"/>
    <col min="2" max="2" width="10.1651376146789" style="1" customWidth="1"/>
    <col min="3" max="3" width="10.5779816513761" style="1" customWidth="1"/>
    <col min="4" max="4" width="13.2477064220183" style="1" customWidth="1"/>
    <col min="5" max="7" width="10.4128440366972" style="1" customWidth="1"/>
    <col min="8" max="8" width="19.3119266055046" style="1" customWidth="1"/>
    <col min="9" max="9" width="18.5321100917431" style="1" customWidth="1"/>
    <col min="10" max="10" width="25.5412844036697" style="1" customWidth="1"/>
    <col min="11" max="11" width="17.2018348623853" style="1" customWidth="1"/>
    <col min="12" max="12" width="25.4220183486239" style="1" customWidth="1"/>
    <col min="13" max="13" width="13.8715596330275" style="1" customWidth="1"/>
    <col min="14" max="16384" width="8.6605504587156" style="1"/>
  </cols>
  <sheetData>
    <row r="1" spans="1:13">
      <c r="A1" s="2" t="s">
        <v>0</v>
      </c>
      <c r="B1" s="3"/>
      <c r="D1" s="4" t="s">
        <v>1</v>
      </c>
      <c r="E1" s="4"/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>
      <c r="A2" s="4" t="s">
        <v>8</v>
      </c>
      <c r="B2" s="5">
        <v>28</v>
      </c>
      <c r="D2" s="5">
        <v>1</v>
      </c>
      <c r="E2" s="5">
        <v>0.05</v>
      </c>
      <c r="H2" s="1">
        <v>1</v>
      </c>
      <c r="I2" s="1" t="str">
        <f>IF(H2&lt;=$B$4,"本体",IF(H2&lt;=$B$4+$B$8+$B$9+$B$10+$B$11,"连击","无效"))</f>
        <v>本体</v>
      </c>
      <c r="J2" s="1" cm="1">
        <f t="array" ref="J2">IF(I2="本体",INDEX($E$2:$E$13,H2),IF(I2="连击",IF(H2-$B$4&lt;=$B$8,0.5,IF(H2-$B$4&lt;=$B$8+$B$9,0.25,IF(H2-$B$4&lt;=$B$8+$B$9+$B$10,0.12,0.06))),0))</f>
        <v>0.05</v>
      </c>
      <c r="K2" s="1">
        <f>IF(I2="无效",0,IF(I2="本体",($B$2/$B$4),$B$2*J2)*$B$3*(1+IF($B$5=0,0,ROUND(IF($B$4&gt;=10,0.15,0.05+($B$4-1)*(0.15-0.05)/9),3))+IF($B$6=0,0,0.1)+$B$7))</f>
        <v>0.6048</v>
      </c>
      <c r="L2" s="1">
        <f>IF(ISBLANK($B$13),1,$B$13)</f>
        <v>1.79</v>
      </c>
      <c r="M2" s="1">
        <f>IF(I2="无效",0,L2*J2)</f>
        <v>0.0895</v>
      </c>
    </row>
    <row r="3" spans="1:13">
      <c r="A3" s="4" t="s">
        <v>9</v>
      </c>
      <c r="B3" s="6">
        <v>0.1</v>
      </c>
      <c r="D3" s="5">
        <v>2</v>
      </c>
      <c r="E3" s="5">
        <v>0.05</v>
      </c>
      <c r="H3" s="1">
        <v>2</v>
      </c>
      <c r="I3" s="1" t="str">
        <f t="shared" ref="I3:I20" si="0">IF(H3&lt;=$B$4,"本体",IF(H3&lt;=$B$4+$B$8+$B$9+$B$10+$B$11,"连击","无效"))</f>
        <v>本体</v>
      </c>
      <c r="J3" s="1" cm="1">
        <f t="array" ref="J3">IF(I3="本体",INDEX($E$2:$E$13,H3),IF(I3="连击",IF(H3-$B$4&lt;=$B$8,0.5,IF(H3-$B$4&lt;=$B$8+$B$9,0.25,IF(H3-$B$4&lt;=$B$8+$B$9+$B$10,0.12,0.06))),0))</f>
        <v>0.05</v>
      </c>
      <c r="K3" s="1">
        <f t="shared" ref="K3:K20" si="1">IF(I3="无效",0,IF(I3="本体",($B$2/$B$4),$B$2*J3)*$B$3*(1+IF($B$5=0,0,ROUND(IF($B$4&gt;=10,0.15,0.05+($B$4-1)*(0.15-0.05)/9),3))+IF($B$6=0,0,0.1)+$B$7))</f>
        <v>0.6048</v>
      </c>
      <c r="L3" s="1">
        <f>IF(I3="无效",L2,IF(ISBLANK($B$12),L2+K2,MIN($B$12,L2+K2)))</f>
        <v>2.3948</v>
      </c>
      <c r="M3" s="1">
        <f t="shared" ref="M3:M20" si="2">IF(I3="无效",0,L3*J3)</f>
        <v>0.11974</v>
      </c>
    </row>
    <row r="4" spans="1:13">
      <c r="A4" s="4" t="s">
        <v>10</v>
      </c>
      <c r="B4" s="5">
        <v>8</v>
      </c>
      <c r="D4" s="5">
        <v>3</v>
      </c>
      <c r="E4" s="5">
        <v>0.05</v>
      </c>
      <c r="H4" s="1">
        <v>3</v>
      </c>
      <c r="I4" s="1" t="str">
        <f t="shared" si="0"/>
        <v>本体</v>
      </c>
      <c r="J4" s="1" cm="1">
        <f t="array" ref="J4">IF(I4="本体",INDEX($E$2:$E$13,H4),IF(I4="连击",IF(H4-$B$4&lt;=$B$8,0.5,IF(H4-$B$4&lt;=$B$8+$B$9,0.25,IF(H4-$B$4&lt;=$B$8+$B$9+$B$10,0.12,0.06))),0))</f>
        <v>0.05</v>
      </c>
      <c r="K4" s="1">
        <f t="shared" si="1"/>
        <v>0.6048</v>
      </c>
      <c r="L4" s="1">
        <f>IF(I4="无效",L3,IF(ISBLANK($B$12),L3+K3,MIN($B$12,L3+K3)))</f>
        <v>2.9996</v>
      </c>
      <c r="M4" s="1">
        <f t="shared" si="2"/>
        <v>0.14998</v>
      </c>
    </row>
    <row r="5" spans="1:13">
      <c r="A5" s="4" t="s">
        <v>11</v>
      </c>
      <c r="B5" s="5">
        <v>1</v>
      </c>
      <c r="D5" s="5">
        <v>4</v>
      </c>
      <c r="E5" s="5">
        <v>0.05</v>
      </c>
      <c r="H5" s="1">
        <v>4</v>
      </c>
      <c r="I5" s="1" t="str">
        <f t="shared" si="0"/>
        <v>本体</v>
      </c>
      <c r="J5" s="1" cm="1">
        <f t="array" ref="J5">IF(I5="本体",INDEX($E$2:$E$13,H5),IF(I5="连击",IF(H5-$B$4&lt;=$B$8,0.5,IF(H5-$B$4&lt;=$B$8+$B$9,0.25,IF(H5-$B$4&lt;=$B$8+$B$9+$B$10,0.12,0.06))),0))</f>
        <v>0.05</v>
      </c>
      <c r="K5" s="1">
        <f t="shared" si="1"/>
        <v>0.6048</v>
      </c>
      <c r="L5" s="1">
        <f>IF(I5="无效",L4,IF(ISBLANK($B$12),L4+K4,MIN($B$12,L4+K4)))</f>
        <v>3.6044</v>
      </c>
      <c r="M5" s="1">
        <f t="shared" si="2"/>
        <v>0.18022</v>
      </c>
    </row>
    <row r="6" spans="1:13">
      <c r="A6" s="4" t="s">
        <v>12</v>
      </c>
      <c r="B6" s="5">
        <v>1</v>
      </c>
      <c r="D6" s="5">
        <v>5</v>
      </c>
      <c r="E6" s="5">
        <v>0.05</v>
      </c>
      <c r="H6" s="1">
        <v>5</v>
      </c>
      <c r="I6" s="1" t="str">
        <f t="shared" si="0"/>
        <v>本体</v>
      </c>
      <c r="J6" s="1" cm="1">
        <f t="array" ref="J6">IF(I6="本体",INDEX($E$2:$E$13,H6),IF(I6="连击",IF(H6-$B$4&lt;=$B$8,0.5,IF(H6-$B$4&lt;=$B$8+$B$9,0.25,IF(H6-$B$4&lt;=$B$8+$B$9+$B$10,0.12,0.06))),0))</f>
        <v>0.05</v>
      </c>
      <c r="K6" s="1">
        <f t="shared" si="1"/>
        <v>0.6048</v>
      </c>
      <c r="L6" s="1">
        <f>IF(I6="无效",L5,IF(ISBLANK($B$12),L5+K5,MIN($B$12,L5+K5)))</f>
        <v>4.2092</v>
      </c>
      <c r="M6" s="1">
        <f t="shared" si="2"/>
        <v>0.21046</v>
      </c>
    </row>
    <row r="7" spans="1:13">
      <c r="A7" s="4" t="s">
        <v>13</v>
      </c>
      <c r="B7" s="6">
        <v>0.5</v>
      </c>
      <c r="D7" s="5">
        <v>6</v>
      </c>
      <c r="E7" s="5">
        <v>0.05</v>
      </c>
      <c r="H7" s="1">
        <v>6</v>
      </c>
      <c r="I7" s="1" t="str">
        <f t="shared" si="0"/>
        <v>本体</v>
      </c>
      <c r="J7" s="1" cm="1">
        <f t="array" ref="J7">IF(I7="本体",INDEX($E$2:$E$13,H7),IF(I7="连击",IF(H7-$B$4&lt;=$B$8,0.5,IF(H7-$B$4&lt;=$B$8+$B$9,0.25,IF(H7-$B$4&lt;=$B$8+$B$9+$B$10,0.12,0.06))),0))</f>
        <v>0.05</v>
      </c>
      <c r="K7" s="1">
        <f t="shared" si="1"/>
        <v>0.6048</v>
      </c>
      <c r="L7" s="1">
        <f t="shared" ref="L7:L18" si="3">IF(I7="无效",L6,IF(ISBLANK($B$12),L6+K6,MIN($B$12,L6+K6)))</f>
        <v>4.814</v>
      </c>
      <c r="M7" s="1">
        <f t="shared" si="2"/>
        <v>0.2407</v>
      </c>
    </row>
    <row r="8" spans="1:13">
      <c r="A8" s="4" t="s">
        <v>14</v>
      </c>
      <c r="B8" s="5">
        <v>3</v>
      </c>
      <c r="D8" s="5">
        <v>7</v>
      </c>
      <c r="E8" s="5">
        <v>0.05</v>
      </c>
      <c r="H8" s="1">
        <v>7</v>
      </c>
      <c r="I8" s="1" t="str">
        <f t="shared" si="0"/>
        <v>本体</v>
      </c>
      <c r="J8" s="1" cm="1">
        <f t="array" ref="J8">IF(I8="本体",INDEX($E$2:$E$13,H8),IF(I8="连击",IF(H8-$B$4&lt;=$B$8,0.5,IF(H8-$B$4&lt;=$B$8+$B$9,0.25,IF(H8-$B$4&lt;=$B$8+$B$9+$B$10,0.12,0.06))),0))</f>
        <v>0.05</v>
      </c>
      <c r="K8" s="1">
        <f t="shared" si="1"/>
        <v>0.6048</v>
      </c>
      <c r="L8" s="1">
        <f t="shared" si="3"/>
        <v>5.4188</v>
      </c>
      <c r="M8" s="1">
        <f t="shared" si="2"/>
        <v>0.27094</v>
      </c>
    </row>
    <row r="9" spans="1:13">
      <c r="A9" s="4" t="s">
        <v>15</v>
      </c>
      <c r="B9" s="5">
        <v>0</v>
      </c>
      <c r="D9" s="5">
        <v>8</v>
      </c>
      <c r="E9" s="5">
        <v>0.65</v>
      </c>
      <c r="H9" s="1">
        <v>8</v>
      </c>
      <c r="I9" s="1" t="str">
        <f t="shared" si="0"/>
        <v>本体</v>
      </c>
      <c r="J9" s="1" cm="1">
        <f t="array" ref="J9">IF(I9="本体",INDEX($E$2:$E$13,H9),IF(I9="连击",IF(H9-$B$4&lt;=$B$8,0.5,IF(H9-$B$4&lt;=$B$8+$B$9,0.25,IF(H9-$B$4&lt;=$B$8+$B$9+$B$10,0.12,0.06))),0))</f>
        <v>0.65</v>
      </c>
      <c r="K9" s="1">
        <f t="shared" si="1"/>
        <v>0.6048</v>
      </c>
      <c r="L9" s="1">
        <f t="shared" si="3"/>
        <v>6.0236</v>
      </c>
      <c r="M9" s="1">
        <f t="shared" si="2"/>
        <v>3.91534</v>
      </c>
    </row>
    <row r="10" spans="1:13">
      <c r="A10" s="4" t="s">
        <v>16</v>
      </c>
      <c r="B10" s="5">
        <v>0</v>
      </c>
      <c r="D10" s="5">
        <v>9</v>
      </c>
      <c r="E10" s="5"/>
      <c r="H10" s="1">
        <v>9</v>
      </c>
      <c r="I10" s="1" t="str">
        <f t="shared" si="0"/>
        <v>连击</v>
      </c>
      <c r="J10" s="1" cm="1">
        <f t="array" ref="J10">IF(I10="本体",INDEX($E$2:$E$13,H10),IF(I10="连击",IF(H10-$B$4&lt;=$B$8,0.5,IF(H10-$B$4&lt;=$B$8+$B$9,0.25,IF(H10-$B$4&lt;=$B$8+$B$9+$B$10,0.12,0.06))),0))</f>
        <v>0.5</v>
      </c>
      <c r="K10" s="1">
        <f t="shared" si="1"/>
        <v>2.4192</v>
      </c>
      <c r="L10" s="1">
        <f t="shared" si="3"/>
        <v>6.6284</v>
      </c>
      <c r="M10" s="1">
        <f t="shared" si="2"/>
        <v>3.3142</v>
      </c>
    </row>
    <row r="11" spans="1:13">
      <c r="A11" s="4" t="s">
        <v>17</v>
      </c>
      <c r="B11" s="5">
        <v>0</v>
      </c>
      <c r="D11" s="5">
        <v>10</v>
      </c>
      <c r="E11" s="5"/>
      <c r="H11" s="1">
        <v>10</v>
      </c>
      <c r="I11" s="1" t="str">
        <f t="shared" si="0"/>
        <v>连击</v>
      </c>
      <c r="J11" s="1" cm="1">
        <f t="array" ref="J11">IF(I11="本体",INDEX($E$2:$E$13,H11),IF(I11="连击",IF(H11-$B$4&lt;=$B$8,0.5,IF(H11-$B$4&lt;=$B$8+$B$9,0.25,IF(H11-$B$4&lt;=$B$8+$B$9+$B$10,0.12,0.06))),0))</f>
        <v>0.5</v>
      </c>
      <c r="K11" s="1">
        <f t="shared" si="1"/>
        <v>2.4192</v>
      </c>
      <c r="L11" s="1">
        <f t="shared" si="3"/>
        <v>9.0476</v>
      </c>
      <c r="M11" s="1">
        <f t="shared" si="2"/>
        <v>4.5238</v>
      </c>
    </row>
    <row r="12" spans="1:13">
      <c r="A12" s="4" t="s">
        <v>18</v>
      </c>
      <c r="B12" s="7">
        <v>12.99</v>
      </c>
      <c r="D12" s="5">
        <v>11</v>
      </c>
      <c r="E12" s="5"/>
      <c r="H12" s="1">
        <v>11</v>
      </c>
      <c r="I12" s="1" t="str">
        <f t="shared" si="0"/>
        <v>连击</v>
      </c>
      <c r="J12" s="1" cm="1">
        <f t="array" ref="J12">IF(I12="本体",INDEX($E$2:$E$13,H12),IF(I12="连击",IF(H12-$B$4&lt;=$B$8,0.5,IF(H12-$B$4&lt;=$B$8+$B$9,0.25,IF(H12-$B$4&lt;=$B$8+$B$9+$B$10,0.12,0.06))),0))</f>
        <v>0.5</v>
      </c>
      <c r="K12" s="1">
        <f t="shared" si="1"/>
        <v>2.4192</v>
      </c>
      <c r="L12" s="1">
        <f t="shared" si="3"/>
        <v>11.4668</v>
      </c>
      <c r="M12" s="1">
        <f t="shared" si="2"/>
        <v>5.7334</v>
      </c>
    </row>
    <row r="13" spans="1:13">
      <c r="A13" s="4" t="s">
        <v>19</v>
      </c>
      <c r="B13" s="7">
        <v>1.79</v>
      </c>
      <c r="D13" s="5">
        <v>12</v>
      </c>
      <c r="E13" s="5"/>
      <c r="H13" s="1">
        <v>12</v>
      </c>
      <c r="I13" s="1" t="str">
        <f t="shared" si="0"/>
        <v>无效</v>
      </c>
      <c r="J13" s="1" cm="1">
        <f t="array" ref="J13">IF(I13="本体",INDEX($E$2:$E$13,H13),IF(I13="连击",IF(H13-$B$4&lt;=$B$8,0.5,IF(H13-$B$4&lt;=$B$8+$B$9,0.25,IF(H13-$B$4&lt;=$B$8+$B$9+$B$10,0.12,0.06))),0))</f>
        <v>0</v>
      </c>
      <c r="K13" s="1">
        <f t="shared" si="1"/>
        <v>0</v>
      </c>
      <c r="L13" s="1">
        <f t="shared" si="3"/>
        <v>11.4668</v>
      </c>
      <c r="M13" s="1">
        <f t="shared" si="2"/>
        <v>0</v>
      </c>
    </row>
    <row r="14" ht="14.65" spans="1:13">
      <c r="H14" s="1">
        <v>13</v>
      </c>
      <c r="I14" s="1" t="str">
        <f t="shared" si="0"/>
        <v>无效</v>
      </c>
      <c r="J14" s="1" cm="1">
        <f t="array" ref="J14">IF(I14="本体",INDEX($E$2:$E$13,H14),IF(I14="连击",IF(H14-$B$4&lt;=$B$8,0.5,IF(H14-$B$4&lt;=$B$8+$B$9,0.25,IF(H14-$B$4&lt;=$B$8+$B$9+$B$10,0.12,0.06))),0))</f>
        <v>0</v>
      </c>
      <c r="K14" s="1">
        <f t="shared" si="1"/>
        <v>0</v>
      </c>
      <c r="L14" s="1">
        <f t="shared" si="3"/>
        <v>11.4668</v>
      </c>
      <c r="M14" s="1">
        <f t="shared" si="2"/>
        <v>0</v>
      </c>
    </row>
    <row r="15" spans="1:13">
      <c r="A15" s="2" t="s">
        <v>20</v>
      </c>
      <c r="B15" s="3"/>
      <c r="D15" s="8" t="s">
        <v>21</v>
      </c>
      <c r="E15" s="9">
        <f>$B$2*(1+$B$8*0.5+$B$9*0.25+$B$10*0.12+$B$11*0.06)*(1+IF($B$5=0,0,IF($B$4&gt;=10,0.15,0.05+($B$4-1)*(0.15-0.05)/9))+IF($B$6=0,0,0.1)+$B$7)</f>
        <v>120.944444444444</v>
      </c>
      <c r="H15" s="1">
        <v>14</v>
      </c>
      <c r="I15" s="1" t="str">
        <f t="shared" si="0"/>
        <v>无效</v>
      </c>
      <c r="J15" s="1" cm="1">
        <f t="array" ref="J15">IF(I15="本体",INDEX($E$2:$E$13,H15),IF(I15="连击",IF(H15-$B$4&lt;=$B$8,0.5,IF(H15-$B$4&lt;=$B$8+$B$9,0.25,IF(H15-$B$4&lt;=$B$8+$B$9+$B$10,0.12,0.06))),0))</f>
        <v>0</v>
      </c>
      <c r="K15" s="1">
        <f t="shared" si="1"/>
        <v>0</v>
      </c>
      <c r="L15" s="1">
        <f t="shared" si="3"/>
        <v>11.4668</v>
      </c>
      <c r="M15" s="1">
        <f t="shared" si="2"/>
        <v>0</v>
      </c>
    </row>
    <row r="16" spans="1:13">
      <c r="A16" s="4" t="s">
        <v>10</v>
      </c>
      <c r="B16" s="5">
        <v>8</v>
      </c>
      <c r="D16" s="10" t="s">
        <v>22</v>
      </c>
      <c r="E16" s="11">
        <f>E15*B3</f>
        <v>12.0944444444444</v>
      </c>
      <c r="H16" s="1">
        <v>15</v>
      </c>
      <c r="I16" s="1" t="str">
        <f t="shared" si="0"/>
        <v>无效</v>
      </c>
      <c r="J16" s="1" cm="1">
        <f t="array" ref="J16">IF(I16="本体",INDEX($E$2:$E$13,H16),IF(I16="连击",IF(H16-$B$4&lt;=$B$8,0.5,IF(H16-$B$4&lt;=$B$8+$B$9,0.25,IF(H16-$B$4&lt;=$B$8+$B$9+$B$10,0.12,0.06))),0))</f>
        <v>0</v>
      </c>
      <c r="K16" s="1">
        <f t="shared" si="1"/>
        <v>0</v>
      </c>
      <c r="L16" s="1">
        <f t="shared" si="3"/>
        <v>11.4668</v>
      </c>
      <c r="M16" s="1">
        <f t="shared" si="2"/>
        <v>0</v>
      </c>
    </row>
    <row r="17" spans="1:13">
      <c r="A17" s="4" t="s">
        <v>23</v>
      </c>
      <c r="B17" s="5">
        <v>5</v>
      </c>
      <c r="D17" s="10" t="s">
        <v>24</v>
      </c>
      <c r="E17" s="11">
        <f>IF(ISBLANK($B$12),IF(ISBLANK($B$13),1,$B$13)+E16,MIN($B$12,IF(ISBLANK($B$13),1,$B$13)+E16))</f>
        <v>12.99</v>
      </c>
      <c r="H17" s="1">
        <v>16</v>
      </c>
      <c r="I17" s="1" t="str">
        <f t="shared" si="0"/>
        <v>无效</v>
      </c>
      <c r="J17" s="1" cm="1">
        <f t="array" ref="J17">IF(I17="本体",INDEX($E$2:$E$13,H17),IF(I17="连击",IF(H17-$B$4&lt;=$B$8,0.5,IF(H17-$B$4&lt;=$B$8+$B$9,0.25,IF(H17-$B$4&lt;=$B$8+$B$9+$B$10,0.12,0.06))),0))</f>
        <v>0</v>
      </c>
      <c r="K17" s="1">
        <f t="shared" si="1"/>
        <v>0</v>
      </c>
      <c r="L17" s="1">
        <f t="shared" si="3"/>
        <v>11.4668</v>
      </c>
      <c r="M17" s="1">
        <f t="shared" si="2"/>
        <v>0</v>
      </c>
    </row>
    <row r="18" spans="1:13">
      <c r="A18" s="4" t="s">
        <v>25</v>
      </c>
      <c r="B18" s="6">
        <v>0.25</v>
      </c>
      <c r="D18" s="12" t="s">
        <v>26</v>
      </c>
      <c r="E18" s="13">
        <f>SUM(M2:M20)/(1+$B$8*0.5+$B$9*0.25+$B$10*0.12+$B$11*0.06)</f>
        <v>7.499312</v>
      </c>
      <c r="H18" s="1">
        <v>17</v>
      </c>
      <c r="I18" s="1" t="str">
        <f t="shared" si="0"/>
        <v>无效</v>
      </c>
      <c r="J18" s="1" cm="1">
        <f t="array" ref="J18">IF(I18="本体",INDEX($E$2:$E$13,H18),IF(I18="连击",IF(H18-$B$4&lt;=$B$8,0.5,IF(H18-$B$4&lt;=$B$8+$B$9,0.25,IF(H18-$B$4&lt;=$B$8+$B$9+$B$10,0.12,0.06))),0))</f>
        <v>0</v>
      </c>
      <c r="K18" s="1">
        <f t="shared" si="1"/>
        <v>0</v>
      </c>
      <c r="L18" s="1">
        <f t="shared" si="3"/>
        <v>11.4668</v>
      </c>
      <c r="M18" s="1">
        <f t="shared" si="2"/>
        <v>0</v>
      </c>
    </row>
    <row r="19" spans="1:13">
      <c r="A19" s="4" t="s">
        <v>27</v>
      </c>
      <c r="B19" s="6">
        <v>0.18</v>
      </c>
      <c r="D19" s="14"/>
      <c r="E19" s="15"/>
    </row>
    <row r="20" spans="1:13">
      <c r="A20" s="4" t="s">
        <v>28</v>
      </c>
      <c r="B20" s="5">
        <v>1</v>
      </c>
      <c r="D20" s="16"/>
      <c r="E20" s="16"/>
      <c r="H20" s="1">
        <v>18</v>
      </c>
      <c r="I20" s="1" t="str">
        <f t="shared" ref="I20:I37" si="4">IF(H20&lt;=$B$4,"本体",IF(H20&lt;=$B$4+$B$8+$B$9+$B$10+$B$11,"连击","无效"))</f>
        <v>无效</v>
      </c>
      <c r="J20" s="1" cm="1">
        <f t="array" ref="J20">IF(I20="本体",INDEX($E$2:$E$13,H20),IF(I20="连击",IF(H20-$B$4&lt;=$B$8,0.5,IF(H20-$B$4&lt;=$B$8+$B$9,0.25,IF(H20-$B$4&lt;=$B$8+$B$9+$B$10,0.12,0.06))),0))</f>
        <v>0</v>
      </c>
      <c r="K20" s="1">
        <f t="shared" ref="K20:K37" si="5">IF(I20="无效",0,IF(I20="本体",($B$2/$B$4),$B$2*J20)*$B$3*(1+IF($B$5=0,0,ROUND(IF($B$4&gt;=10,0.15,0.05+($B$4-1)*(0.15-0.05)/9),3))+IF($B$6=0,0,0.1)+$B$7))</f>
        <v>0</v>
      </c>
      <c r="L20" s="1">
        <f>IF(I20="无效",L18,IF(ISBLANK($B$12),L18+K18,MIN($B$12,L18+K18)))</f>
        <v>11.4668</v>
      </c>
      <c r="M20" s="1">
        <f t="shared" ref="M20:M37" si="6">IF(I20="无效",0,L20*J20)</f>
        <v>0</v>
      </c>
    </row>
    <row r="21" spans="1:13">
      <c r="A21" s="4" t="s">
        <v>29</v>
      </c>
      <c r="B21" s="5">
        <v>1</v>
      </c>
      <c r="C21"/>
      <c r="D21" s="8" t="s">
        <v>30</v>
      </c>
      <c r="E21" s="17">
        <f>I26/100</f>
        <v>0.8502</v>
      </c>
    </row>
    <row r="22" ht="14.65" spans="1:13">
      <c r="A22" s="4" t="s">
        <v>31</v>
      </c>
      <c r="B22" s="5">
        <v>0</v>
      </c>
      <c r="D22" s="12" t="s">
        <v>32</v>
      </c>
      <c r="E22" s="18">
        <f>E21*40</f>
        <v>34.008</v>
      </c>
      <c r="H22" s="1" t="s">
        <v>33</v>
      </c>
      <c r="I22" s="1">
        <f>1+IF(B16=0,5,5+MIN(B16,10)*10/9-10/9)/100*B20</f>
        <v>1.12777777777778</v>
      </c>
    </row>
    <row r="23" spans="1:13">
      <c r="A23" s="4" t="s">
        <v>34</v>
      </c>
      <c r="B23" s="6"/>
      <c r="H23" s="1" t="s">
        <v>35</v>
      </c>
      <c r="I23" s="1">
        <f>I22+$B$23</f>
        <v>1.12777777777778</v>
      </c>
    </row>
    <row r="24" spans="1:13">
      <c r="A24" s="4" t="s">
        <v>36</v>
      </c>
      <c r="B24" s="7">
        <v>1</v>
      </c>
      <c r="H24" s="1" t="s">
        <v>37</v>
      </c>
      <c r="I24" s="1">
        <f>($B$16+$B$17)*ROUNDDOWN(2.5*I23*B24,2)*$B$21*IF(B22,0,1)</f>
        <v>36.53</v>
      </c>
    </row>
    <row r="25" spans="1:13">
      <c r="H25" s="1" t="s">
        <v>38</v>
      </c>
      <c r="I25" s="1">
        <f>ROUNDDOWN($B$18*100*I23,2)+ROUNDDOWN($B$19*100*I23,2)</f>
        <v>48.49</v>
      </c>
    </row>
    <row r="26" spans="1:13">
      <c r="H26" s="1" t="s">
        <v>39</v>
      </c>
      <c r="I26" s="1">
        <f>I24+I25</f>
        <v>85.02</v>
      </c>
    </row>
  </sheetData>
  <mergeCells count="3">
    <mergeCell ref="A1:B1"/>
    <mergeCell ref="D1:E1"/>
    <mergeCell ref="A15:B15"/>
  </mergeCells>
  <conditionalFormatting sqref="B21">
    <cfRule type="cellIs" dxfId="0" priority="1" operator="equal">
      <formula>0</formula>
    </cfRule>
  </conditionalFormatting>
  <conditionalFormatting sqref="E2:E13">
    <cfRule type="expression" dxfId="1" priority="2">
      <formula>D2&gt;$B$4</formula>
    </cfRule>
  </conditionalFormatting>
  <dataValidations count="4">
    <dataValidation type="whole" operator="between" allowBlank="1" showInputMessage="1" showErrorMessage="1" sqref="B4">
      <formula1>0</formula1>
      <formula2>12</formula2>
    </dataValidation>
    <dataValidation type="list" allowBlank="1" showInputMessage="1" showErrorMessage="1" sqref="B19">
      <formula1>"12%,14%,16%,18%,20%"</formula1>
    </dataValidation>
    <dataValidation type="list" allowBlank="1" showInputMessage="1" showErrorMessage="1" sqref="B20 B22 B5:B6">
      <formula1>"0,1"</formula1>
    </dataValidation>
    <dataValidation type="list" showInputMessage="1" showErrorMessage="1" sqref="B21">
      <formula1>"1,2,3"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破坏率OD计算表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SGrnium Propyl</dc:creator>
  <cp:lastModifiedBy>CCELEND</cp:lastModifiedBy>
  <dcterms:created xsi:type="dcterms:W3CDTF">2026-03-20T09:30:00Z</dcterms:created>
  <dcterms:modified xsi:type="dcterms:W3CDTF">2026-03-20T09:39:02Z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BE53A2B4FEFA4E95BCD70B36A178307B_12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